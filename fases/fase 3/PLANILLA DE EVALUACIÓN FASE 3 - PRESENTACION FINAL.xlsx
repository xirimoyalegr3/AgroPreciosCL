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se 3\Seccion-005\Grupo 2 AgropreciosChile\Evidencias grupales\"/>
    </mc:Choice>
  </mc:AlternateContent>
  <xr:revisionPtr revIDLastSave="0" documentId="13_ncr:1_{09EA6D7F-68BF-439D-A16B-C662E8E035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G82" i="1"/>
  <c r="E82" i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E80" i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G69" i="1"/>
  <c r="E69" i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G67" i="1"/>
  <c r="E67" i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G56" i="1"/>
  <c r="E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E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G43" i="1"/>
  <c r="E43" i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G41" i="1"/>
  <c r="E41" i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G30" i="1"/>
  <c r="E30" i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G28" i="1"/>
  <c r="E28" i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E15" i="1"/>
  <c r="D16" i="1"/>
  <c r="E16" i="1" s="1"/>
  <c r="E17" i="1"/>
  <c r="D18" i="1"/>
  <c r="E18" i="1" s="1"/>
  <c r="D19" i="1"/>
  <c r="E19" i="1" s="1"/>
  <c r="G17" i="1" l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G15" i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<sst xmlns="http://schemas.openxmlformats.org/spreadsheetml/2006/main" count="176" uniqueCount="67">
  <si>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</si>
  <si>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</si>
  <si>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</si>
  <si>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</si>
  <si>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</si>
  <si>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</si>
  <si>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</si>
  <si>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</si>
  <si>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</si>
  <si>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</si>
  <si>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</si>
  <si>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</si>
  <si>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</si>
  <si>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</si>
  <si>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</si>
  <si>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</si>
  <si>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</si>
  <si>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</si>
  <si>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</si>
  <si>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</si>
  <si>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</si>
  <si>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</si>
  <si>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</si>
  <si>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</si>
  <si>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</si>
  <si>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</si>
  <si>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</si>
  <si>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</si>
  <si>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</si>
  <si>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</si>
  <si>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</si>
  <si>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</si>
  <si>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</si>
  <si>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</si>
  <si>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</si>
  <si>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</si>
  <si>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</si>
  <si>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</si>
  <si>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</si>
  <si>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</si>
  <si>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</si>
  <si>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</si>
  <si>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</si>
  <si>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</si>
  <si>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</si>
  <si>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</si>
  <si>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</si>
  <si>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</si>
  <si>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</si>
  <si>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</si>
  <si>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</si>
  <si>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</si>
  <si>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</si>
  <si>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</si>
  <si>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</si>
  <si>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</si>
  <si>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</si>
  <si>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</si>
  <si>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</si>
  <si>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</si>
  <si>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</si>
  <si>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</si>
  <si>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</si>
  <si>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Jesus Martinez</t>
  </si>
  <si>
    <t>Miguel Muñoz</t>
  </si>
  <si>
    <t>Vicente Valenzuela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</si>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</sst>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3" fillId="0" borderId="0" xfId="0" applyFont="1" applyAlignment="1">
      <alignment horizontal="left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H82" sqref="H82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6.3</v>
      </c>
      <c r="D4" s="37">
        <f>C60</f>
        <v>6.3</v>
      </c>
      <c r="E4" s="36">
        <f>C4*C$2+D4*D$2</f>
        <v>6.2999999999999989</v>
      </c>
    </row>
    <row r="5" spans="1:11" ht="14.4" x14ac:dyDescent="0.3">
      <c r="A5" s="3">
        <v>2</v>
      </c>
      <c r="B5" s="16" t="s">
        <v>64</v>
      </c>
      <c r="C5" s="31">
        <f>C34</f>
        <v>6.3</v>
      </c>
      <c r="D5" s="37">
        <f>C73</f>
        <v>6.3</v>
      </c>
      <c r="E5" s="36">
        <f t="shared" ref="E5:E6" si="0">C5*C$2+D5*D$2</f>
        <v>6.2999999999999989</v>
      </c>
    </row>
    <row r="6" spans="1:11" ht="14.4" x14ac:dyDescent="0.3">
      <c r="A6" s="3">
        <v>3</v>
      </c>
      <c r="B6" s="16" t="s">
        <v>65</v>
      </c>
      <c r="C6" s="31">
        <f>C47</f>
        <v>6.3</v>
      </c>
      <c r="D6" s="37">
        <f>C86</f>
        <v>6.3</v>
      </c>
      <c r="E6" s="36">
        <f t="shared" si="0"/>
        <v>6.2999999999999989</v>
      </c>
    </row>
    <row r="7" spans="1:11" ht="15" customHeight="1" x14ac:dyDescent="0.3">
      <c r="B7" s="39"/>
    </row>
    <row r="11" spans="1:11" ht="18" outlineLevel="1" x14ac:dyDescent="0.3">
      <c r="A11" s="40" t="s">
        <v>4</v>
      </c>
      <c r="B11" s="11" t="str">
        <f>B4</f>
        <v>Jesus Martinez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ht="14.4" outlineLevel="1" x14ac:dyDescent="0.3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3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6" si="1">IF($C13=CL,"X","")</f>
        <v>X</v>
      </c>
      <c r="E13" s="12">
        <f>IF(D13="X",100*0.15,"")</f>
        <v>15</v>
      </c>
      <c r="F13" s="12" t="str">
        <f t="shared" ref="F13:F16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2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66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2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2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/>
      <c r="E17" s="12" t="str">
        <f>IF(D17="X",100*0.05,"")</f>
        <v/>
      </c>
      <c r="F17" s="12" t="s">
        <v>66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1"/>
      <c r="B20" s="18" t="s">
        <v>12</v>
      </c>
      <c r="C20" s="22">
        <f>E20+G20+I20+K20</f>
        <v>90</v>
      </c>
      <c r="D20" s="13"/>
      <c r="E20" s="13">
        <f>SUM(E13:E19)</f>
        <v>75</v>
      </c>
      <c r="F20" s="13"/>
      <c r="G20" s="13">
        <f>SUM(G13:G19)</f>
        <v>15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3"/>
      <c r="B21" s="21" t="s">
        <v>13</v>
      </c>
      <c r="C21" s="14">
        <f>VLOOKUP(C20,ESCALA_IEP!A2:B202,2,FALSE)</f>
        <v>6.3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0" t="s">
        <v>4</v>
      </c>
      <c r="B24" s="11" t="str">
        <f>B5</f>
        <v>Miguel Muñoz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3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3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29" si="7">IF($C26=CL,"X","")</f>
        <v>X</v>
      </c>
      <c r="E26" s="12">
        <f>IF(D26="X",100*0.15,"")</f>
        <v>15</v>
      </c>
      <c r="F26" s="12" t="str">
        <f t="shared" ref="F26:F29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2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">
        <v>66</v>
      </c>
      <c r="G28" s="12">
        <f>IF(F28="X",60*0.2,"")</f>
        <v>12</v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2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2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/>
      <c r="E30" s="12" t="str">
        <f>IF(D30="X",100*0.05,"")</f>
        <v/>
      </c>
      <c r="F30" s="12" t="s">
        <v>66</v>
      </c>
      <c r="G30" s="12">
        <f>IF(F30="X",60*0.05,"")</f>
        <v>3</v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1"/>
      <c r="B33" s="18" t="s">
        <v>12</v>
      </c>
      <c r="C33" s="22">
        <f>E33+G33+I33+K33</f>
        <v>90</v>
      </c>
      <c r="D33" s="13"/>
      <c r="E33" s="13">
        <f>SUM(E26:E32)</f>
        <v>75</v>
      </c>
      <c r="F33" s="13"/>
      <c r="G33" s="13">
        <f>SUM(G26:G32)</f>
        <v>15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3"/>
      <c r="B34" s="21" t="s">
        <v>13</v>
      </c>
      <c r="C34" s="14">
        <f>VLOOKUP(C33,ESCALA_IEP!A15:B215,2,FALSE)</f>
        <v>6.3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0" t="s">
        <v>4</v>
      </c>
      <c r="B37" s="11" t="str">
        <f>B6</f>
        <v>Vicente Valenzuela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3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3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2" si="12">IF($C39=CL,"X","")</f>
        <v>X</v>
      </c>
      <c r="E39" s="12">
        <f>IF(D39="X",100*0.15,"")</f>
        <v>15</v>
      </c>
      <c r="F39" s="12" t="str">
        <f t="shared" ref="F39:F42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">
        <v>66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/>
      <c r="E43" s="12" t="str">
        <f>IF(D43="X",100*0.05,"")</f>
        <v/>
      </c>
      <c r="F43" s="12" t="s">
        <v>66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1"/>
      <c r="B46" s="18" t="s">
        <v>12</v>
      </c>
      <c r="C46" s="22">
        <f>E46+G46+I46+K46</f>
        <v>90</v>
      </c>
      <c r="D46" s="13"/>
      <c r="E46" s="13">
        <f>SUM(E39:E45)</f>
        <v>75</v>
      </c>
      <c r="F46" s="13"/>
      <c r="G46" s="13">
        <f>SUM(G39:G45)</f>
        <v>15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3"/>
      <c r="B47" s="21" t="s">
        <v>13</v>
      </c>
      <c r="C47" s="14">
        <f>VLOOKUP(C46,ESCALA_IEP!A28:B228,2,FALSE)</f>
        <v>6.3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9" t="s">
        <v>14</v>
      </c>
      <c r="B50" s="11" t="str">
        <f>B4</f>
        <v>Jesus Martinez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3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3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2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/>
      <c r="E54" s="12" t="str">
        <f>IF(D54="X",100*0.2,"")</f>
        <v/>
      </c>
      <c r="F54" s="12" t="s">
        <v>66</v>
      </c>
      <c r="G54" s="12">
        <f>IF(F54="X",60*0.2,"")</f>
        <v>12</v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2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2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/>
      <c r="E56" s="12" t="str">
        <f>IF(D56="X",100*0.05,"")</f>
        <v/>
      </c>
      <c r="F56" s="12" t="s">
        <v>66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1"/>
      <c r="B59" s="18" t="s">
        <v>12</v>
      </c>
      <c r="C59" s="22">
        <f>E59+G59+I59+K59</f>
        <v>90</v>
      </c>
      <c r="D59" s="13"/>
      <c r="E59" s="13">
        <f>SUM(E52:E58)</f>
        <v>75</v>
      </c>
      <c r="F59" s="13"/>
      <c r="G59" s="13">
        <f>SUM(G52:G58)</f>
        <v>15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3"/>
      <c r="B60" s="21" t="s">
        <v>13</v>
      </c>
      <c r="C60" s="14">
        <f>VLOOKUP(C59,ESCALA_IEP!A41:B241,2,FALSE)</f>
        <v>6.3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49" t="s">
        <v>15</v>
      </c>
      <c r="B63" s="11" t="str">
        <f>B5</f>
        <v>Miguel Muñoz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3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3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2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/>
      <c r="E67" s="12" t="str">
        <f>IF(D67="X",100*0.2,"")</f>
        <v/>
      </c>
      <c r="F67" s="12" t="s">
        <v>66</v>
      </c>
      <c r="G67" s="12">
        <f>IF(F67="X",60*0.2,"")</f>
        <v>12</v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2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2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/>
      <c r="E69" s="12" t="str">
        <f>IF(D69="X",100*0.05,"")</f>
        <v/>
      </c>
      <c r="F69" s="12" t="s">
        <v>66</v>
      </c>
      <c r="G69" s="12">
        <f>IF(F69="X",60*0.05,"")</f>
        <v>3</v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1"/>
      <c r="B72" s="18" t="s">
        <v>12</v>
      </c>
      <c r="C72" s="22">
        <f>E72+G72+I72+K72</f>
        <v>90</v>
      </c>
      <c r="D72" s="13"/>
      <c r="E72" s="13">
        <f>SUM(E65:E71)</f>
        <v>75</v>
      </c>
      <c r="F72" s="13"/>
      <c r="G72" s="13">
        <f>SUM(G65:G71)</f>
        <v>15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3"/>
      <c r="B73" s="21" t="s">
        <v>13</v>
      </c>
      <c r="C73" s="14">
        <f>VLOOKUP(C72,ESCALA_IEP!A54:B254,2,FALSE)</f>
        <v>6.3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49" t="s">
        <v>16</v>
      </c>
      <c r="B76" s="11" t="str">
        <f>B6</f>
        <v>Vicente Valenzuela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3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3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">
        <v>66</v>
      </c>
      <c r="G80" s="12">
        <f>IF(F80="X",60*0.2,"")</f>
        <v>12</v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/>
      <c r="E82" s="12" t="str">
        <f>IF(D82="X",100*0.05,"")</f>
        <v/>
      </c>
      <c r="F82" s="12" t="s">
        <v>66</v>
      </c>
      <c r="G82" s="12">
        <f>IF(F82="X",60*0.05,"")</f>
        <v>3</v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1"/>
      <c r="B85" s="18" t="s">
        <v>12</v>
      </c>
      <c r="C85" s="22">
        <f>E85+G85+I85+K85</f>
        <v>90</v>
      </c>
      <c r="D85" s="13"/>
      <c r="E85" s="13">
        <f>SUM(E78:E84)</f>
        <v>75</v>
      </c>
      <c r="F85" s="13"/>
      <c r="G85" s="13">
        <f>SUM(G78:G84)</f>
        <v>15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3"/>
      <c r="B86" s="21" t="s">
        <v>13</v>
      </c>
      <c r="C86" s="14">
        <f>VLOOKUP(C85,ESCALA_IEP!A67:B267,2,FALSE)</f>
        <v>6.3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x14ac:dyDescent="0.3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3">
      <c r="A3" s="51"/>
      <c r="B3" s="56"/>
      <c r="C3" s="56"/>
      <c r="D3" s="27">
        <v>0.3</v>
      </c>
      <c r="E3" s="27">
        <v>0</v>
      </c>
      <c r="F3" s="51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7" t="s">
        <v>60</v>
      </c>
      <c r="B1" s="4" t="s">
        <v>12</v>
      </c>
      <c r="C1" s="5"/>
      <c r="D1" s="5"/>
      <c r="E1" s="6"/>
    </row>
    <row r="2" spans="1:5" ht="43.8" thickBot="1" x14ac:dyDescent="0.35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Cristian Molina P.</cp:lastModifiedBy>
  <cp:revision/>
  <dcterms:created xsi:type="dcterms:W3CDTF">2023-08-07T04:08:01Z</dcterms:created>
  <dcterms:modified xsi:type="dcterms:W3CDTF">2025-12-02T17:01:55Z</dcterms:modified>
  <cp:category/>
  <cp:contentStatus/>
</cp:coreProperties>
</file>